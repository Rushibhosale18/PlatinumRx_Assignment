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 Summary" sheetId="1" state="visible" r:id="rId1"/>
    <sheet name="ticket" sheetId="2" state="visible" r:id="rId2"/>
    <sheet name="feedbac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F81BD"/>
      </patternFill>
    </fill>
    <fill>
      <patternFill patternType="solid">
        <f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60" customWidth="1" min="3" max="3"/>
    <col width="60" customWidth="1" min="4" max="4"/>
    <col width="23" customWidth="1" min="5" max="5"/>
  </cols>
  <sheetData>
    <row r="1">
      <c r="A1" s="1" t="inlineStr">
        <is>
          <t>Ticket Resolution Time Analysis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2" t="inlineStr">
        <is>
          <t>Outlet ID</t>
        </is>
      </c>
      <c r="B3" s="2" t="inlineStr">
        <is>
          <t>Total Tickets</t>
        </is>
      </c>
      <c r="C3" s="2" t="inlineStr">
        <is>
          <t>Closed Same Day</t>
        </is>
      </c>
      <c r="D3" s="2" t="inlineStr">
        <is>
          <t>Closed Same Hour</t>
        </is>
      </c>
      <c r="E3" s="2" t="inlineStr">
        <is>
          <t>Same Hour %</t>
        </is>
      </c>
    </row>
    <row r="4">
      <c r="A4" s="3" t="n"/>
      <c r="B4" s="3" t="n"/>
      <c r="C4" s="3" t="n"/>
      <c r="D4" s="3" t="n"/>
      <c r="E4" s="3" t="n"/>
    </row>
    <row r="5">
      <c r="A5" s="2" t="inlineStr">
        <is>
          <t>wrqy-juv-978</t>
        </is>
      </c>
      <c r="B5" s="2">
        <f>COUNTIF(ticket!D:D, "wrqy-juv-978")</f>
        <v/>
      </c>
      <c r="C5" s="2">
        <f>COUNTIFS(ticket!D:D, "wrqy-juv-978", ticket!F:F, "Yes")</f>
        <v/>
      </c>
      <c r="D5" s="2">
        <f>COUNTIFS(ticket!D:D, "wrqy-juv-978", ticket!G:G, "Yes")</f>
        <v/>
      </c>
      <c r="E5" s="4">
        <f>IF(B5=0, 0, D5/B5)</f>
        <v/>
      </c>
    </row>
    <row r="6">
      <c r="A6" s="2" t="inlineStr">
        <is>
          <t>8woh-k3u-23b</t>
        </is>
      </c>
      <c r="B6" s="2">
        <f>COUNTIF(ticket!D:D, "8woh-k3u-23b")</f>
        <v/>
      </c>
      <c r="C6" s="2">
        <f>COUNTIFS(ticket!D:D, "8woh-k3u-23b", ticket!F:F, "Yes")</f>
        <v/>
      </c>
      <c r="D6" s="2">
        <f>COUNTIFS(ticket!D:D, "8woh-k3u-23b", ticket!G:G, "Yes")</f>
        <v/>
      </c>
      <c r="E6" s="4">
        <f>IF(B6=0, 0, D6/B6)</f>
        <v/>
      </c>
    </row>
    <row r="7">
      <c r="A7" s="2" t="inlineStr">
        <is>
          <t>outlet-alpha</t>
        </is>
      </c>
      <c r="B7" s="2">
        <f>COUNTIF(ticket!D:D, "outlet-alpha")</f>
        <v/>
      </c>
      <c r="C7" s="2">
        <f>COUNTIFS(ticket!D:D, "outlet-alpha", ticket!F:F, "Yes")</f>
        <v/>
      </c>
      <c r="D7" s="2">
        <f>COUNTIFS(ticket!D:D, "outlet-alpha", ticket!G:G, "Yes")</f>
        <v/>
      </c>
      <c r="E7" s="4">
        <f>IF(B7=0, 0, D7/B7)</f>
        <v/>
      </c>
    </row>
  </sheetData>
  <mergeCells count="1">
    <mergeCell ref="A1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5" customWidth="1" min="1" max="1"/>
    <col width="23" customWidth="1" min="2" max="2"/>
    <col width="23" customWidth="1" min="3" max="3"/>
    <col width="16" customWidth="1" min="4" max="4"/>
    <col width="15" customWidth="1" min="5" max="5"/>
    <col width="39" customWidth="1" min="6" max="6"/>
    <col width="65" customWidth="1" min="7" max="7"/>
  </cols>
  <sheetData>
    <row r="1">
      <c r="A1" s="5" t="inlineStr">
        <is>
          <t>ticket_id</t>
        </is>
      </c>
      <c r="B1" s="5" t="inlineStr">
        <is>
          <t>created_at</t>
        </is>
      </c>
      <c r="C1" s="5" t="inlineStr">
        <is>
          <t>closed_at</t>
        </is>
      </c>
      <c r="D1" s="5" t="inlineStr">
        <is>
          <t>outlet_id</t>
        </is>
      </c>
      <c r="E1" s="5" t="inlineStr">
        <is>
          <t>cms_id</t>
        </is>
      </c>
      <c r="F1" s="5" t="inlineStr">
        <is>
          <t>same_day_flag</t>
        </is>
      </c>
      <c r="G1" s="5" t="inlineStr">
        <is>
          <t>same_hour_flag</t>
        </is>
      </c>
    </row>
    <row r="2">
      <c r="A2" s="2" t="inlineStr">
        <is>
          <t>isu-sjd-457</t>
        </is>
      </c>
      <c r="B2" s="2" t="inlineStr">
        <is>
          <t>2021-08-19 16:45:43</t>
        </is>
      </c>
      <c r="C2" s="2" t="inlineStr">
        <is>
          <t>2021-08-22 12:33:32</t>
        </is>
      </c>
      <c r="D2" s="2" t="inlineStr">
        <is>
          <t>wrqy-juv-978</t>
        </is>
      </c>
      <c r="E2" s="2" t="inlineStr">
        <is>
          <t>vew-iuvd-12</t>
        </is>
      </c>
      <c r="F2" s="2">
        <f>IF(INT(B2)=INT(C2), "Yes", "No")</f>
        <v/>
      </c>
      <c r="G2" s="2">
        <f>IF(AND(INT(B2)=INT(C2), HOUR(B2)=HOUR(C2)), "Yes", "No")</f>
        <v/>
      </c>
    </row>
    <row r="3">
      <c r="A3" s="2" t="inlineStr">
        <is>
          <t>qer-fal-092</t>
        </is>
      </c>
      <c r="B3" s="2" t="inlineStr">
        <is>
          <t>2021-08-21 11:09:22</t>
        </is>
      </c>
      <c r="C3" s="2" t="inlineStr">
        <is>
          <t>2021-08-21 17:13:45</t>
        </is>
      </c>
      <c r="D3" s="2" t="inlineStr">
        <is>
          <t>8woh-k3u-23b</t>
        </is>
      </c>
      <c r="E3" s="2" t="inlineStr">
        <is>
          <t>qwe-asd-99</t>
        </is>
      </c>
      <c r="F3" s="2">
        <f>IF(INT(B3)=INT(C3), "Yes", "No")</f>
        <v/>
      </c>
      <c r="G3" s="2">
        <f>IF(AND(INT(B3)=INT(C3), HOUR(B3)=HOUR(C3)), "Yes", "No")</f>
        <v/>
      </c>
    </row>
    <row r="4">
      <c r="A4" s="2" t="inlineStr">
        <is>
          <t>tk-aaa-111</t>
        </is>
      </c>
      <c r="B4" s="2" t="inlineStr">
        <is>
          <t>2021-08-22 10:15:00</t>
        </is>
      </c>
      <c r="C4" s="2" t="inlineStr">
        <is>
          <t>2021-08-22 18:30:00</t>
        </is>
      </c>
      <c r="D4" s="2" t="inlineStr">
        <is>
          <t>wrqy-juv-978</t>
        </is>
      </c>
      <c r="E4" s="2" t="inlineStr">
        <is>
          <t>cms-101</t>
        </is>
      </c>
      <c r="F4" s="2">
        <f>IF(INT(B4)=INT(C4), "Yes", "No")</f>
        <v/>
      </c>
      <c r="G4" s="2">
        <f>IF(AND(INT(B4)=INT(C4), HOUR(B4)=HOUR(C4)), "Yes", "No")</f>
        <v/>
      </c>
    </row>
    <row r="5">
      <c r="A5" s="2" t="inlineStr">
        <is>
          <t>tk-bbb-222</t>
        </is>
      </c>
      <c r="B5" s="2" t="inlineStr">
        <is>
          <t>2021-08-23 09:10:00</t>
        </is>
      </c>
      <c r="C5" s="2" t="inlineStr">
        <is>
          <t>2021-08-23 09:45:00</t>
        </is>
      </c>
      <c r="D5" s="2" t="inlineStr">
        <is>
          <t>8woh-k3u-23b</t>
        </is>
      </c>
      <c r="E5" s="2" t="inlineStr">
        <is>
          <t>cms-102</t>
        </is>
      </c>
      <c r="F5" s="2">
        <f>IF(INT(B5)=INT(C5), "Yes", "No")</f>
        <v/>
      </c>
      <c r="G5" s="2">
        <f>IF(AND(INT(B5)=INT(C5), HOUR(B5)=HOUR(C5)), "Yes", "No")</f>
        <v/>
      </c>
    </row>
    <row r="6">
      <c r="A6" s="2" t="inlineStr">
        <is>
          <t>tk-ccc-333</t>
        </is>
      </c>
      <c r="B6" s="2" t="inlineStr">
        <is>
          <t>2021-08-24 14:20:00</t>
        </is>
      </c>
      <c r="C6" s="2" t="inlineStr">
        <is>
          <t>2021-08-25 10:00:00</t>
        </is>
      </c>
      <c r="D6" s="2" t="inlineStr">
        <is>
          <t>wrqy-juv-978</t>
        </is>
      </c>
      <c r="E6" s="2" t="inlineStr">
        <is>
          <t>cms-103</t>
        </is>
      </c>
      <c r="F6" s="2">
        <f>IF(INT(B6)=INT(C6), "Yes", "No")</f>
        <v/>
      </c>
      <c r="G6" s="2">
        <f>IF(AND(INT(B6)=INT(C6), HOUR(B6)=HOUR(C6)), "Yes", "No")</f>
        <v/>
      </c>
    </row>
    <row r="7">
      <c r="A7" s="2" t="inlineStr">
        <is>
          <t>tk-ddd-444</t>
        </is>
      </c>
      <c r="B7" s="2" t="inlineStr">
        <is>
          <t>2021-08-25 11:05:00</t>
        </is>
      </c>
      <c r="C7" s="2" t="inlineStr">
        <is>
          <t>2021-08-25 11:55:00</t>
        </is>
      </c>
      <c r="D7" s="2" t="inlineStr">
        <is>
          <t>wrqy-juv-978</t>
        </is>
      </c>
      <c r="E7" s="2" t="inlineStr">
        <is>
          <t>cms-104</t>
        </is>
      </c>
      <c r="F7" s="2">
        <f>IF(INT(B7)=INT(C7), "Yes", "No")</f>
        <v/>
      </c>
      <c r="G7" s="2">
        <f>IF(AND(INT(B7)=INT(C7), HOUR(B7)=HOUR(C7)), "Yes", "No")</f>
        <v/>
      </c>
    </row>
    <row r="8">
      <c r="A8" s="2" t="inlineStr">
        <is>
          <t>tk-eee-555</t>
        </is>
      </c>
      <c r="B8" s="2" t="inlineStr">
        <is>
          <t>2021-08-26 16:45:43</t>
        </is>
      </c>
      <c r="C8" s="2" t="inlineStr">
        <is>
          <t>2021-08-26 21:33:32</t>
        </is>
      </c>
      <c r="D8" s="2" t="inlineStr">
        <is>
          <t>outlet-alpha</t>
        </is>
      </c>
      <c r="E8" s="2" t="inlineStr">
        <is>
          <t>cms-105</t>
        </is>
      </c>
      <c r="F8" s="2">
        <f>IF(INT(B8)=INT(C8), "Yes", "No")</f>
        <v/>
      </c>
      <c r="G8" s="2">
        <f>IF(AND(INT(B8)=INT(C8), HOUR(B8)=HOUR(C8)), "Yes", "No")</f>
        <v/>
      </c>
    </row>
    <row r="9">
      <c r="A9" s="2" t="inlineStr">
        <is>
          <t>tk-fff-666</t>
        </is>
      </c>
      <c r="B9" s="2" t="inlineStr">
        <is>
          <t>2021-08-27 08:30:00</t>
        </is>
      </c>
      <c r="C9" s="2" t="inlineStr">
        <is>
          <t>2021-08-27 08:59:00</t>
        </is>
      </c>
      <c r="D9" s="2" t="inlineStr">
        <is>
          <t>outlet-alpha</t>
        </is>
      </c>
      <c r="E9" s="2" t="inlineStr">
        <is>
          <t>cms-106</t>
        </is>
      </c>
      <c r="F9" s="2">
        <f>IF(INT(B9)=INT(C9), "Yes", "No")</f>
        <v/>
      </c>
      <c r="G9" s="2">
        <f>IF(AND(INT(B9)=INT(C9), HOUR(B9)=HOUR(C9)), "Yes", "No")</f>
        <v/>
      </c>
    </row>
    <row r="10">
      <c r="A10" s="2" t="inlineStr">
        <is>
          <t>tk-ggg-777</t>
        </is>
      </c>
      <c r="B10" s="2" t="inlineStr">
        <is>
          <t>2021-08-28 12:00:00</t>
        </is>
      </c>
      <c r="C10" s="2" t="inlineStr">
        <is>
          <t>2021-08-30 12:00:00</t>
        </is>
      </c>
      <c r="D10" s="2" t="inlineStr">
        <is>
          <t>8woh-k3u-23b</t>
        </is>
      </c>
      <c r="E10" s="2" t="inlineStr">
        <is>
          <t>cms-107</t>
        </is>
      </c>
      <c r="F10" s="2">
        <f>IF(INT(B10)=INT(C10), "Yes", "No")</f>
        <v/>
      </c>
      <c r="G10" s="2">
        <f>IF(AND(INT(B10)=INT(C10), HOUR(B10)=HOUR(C10)), "Yes", 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5" customWidth="1" min="1" max="1"/>
    <col width="23" customWidth="1" min="2" max="2"/>
    <col width="19" customWidth="1" min="3" max="3"/>
    <col width="86" customWidth="1" min="4" max="4"/>
  </cols>
  <sheetData>
    <row r="1">
      <c r="A1" s="5" t="inlineStr">
        <is>
          <t>cms_id</t>
        </is>
      </c>
      <c r="B1" s="5" t="inlineStr">
        <is>
          <t>feedback_at</t>
        </is>
      </c>
      <c r="C1" s="5" t="inlineStr">
        <is>
          <t>feedback_rating</t>
        </is>
      </c>
      <c r="D1" s="5" t="inlineStr">
        <is>
          <t>ticket_created_at</t>
        </is>
      </c>
    </row>
    <row r="2">
      <c r="A2" s="2" t="inlineStr">
        <is>
          <t>vew-iuvd-12</t>
        </is>
      </c>
      <c r="B2" s="2" t="inlineStr">
        <is>
          <t>2021-08-21 13:26:48</t>
        </is>
      </c>
      <c r="C2" s="2" t="n">
        <v>3</v>
      </c>
      <c r="D2" s="2">
        <f>IFERROR(INDEX(ticket!$B$2:$B$100, MATCH(A2, ticket!$E$2:$E$100, 0)), "Not Found")</f>
        <v/>
      </c>
    </row>
    <row r="3">
      <c r="A3" s="2" t="inlineStr">
        <is>
          <t>qwe-asd-99</t>
        </is>
      </c>
      <c r="B3" s="2" t="inlineStr">
        <is>
          <t>2021-08-22 09:12:34</t>
        </is>
      </c>
      <c r="C3" s="2" t="n">
        <v>5</v>
      </c>
      <c r="D3" s="2">
        <f>IFERROR(INDEX(ticket!$B$2:$B$100, MATCH(A3, ticket!$E$2:$E$100, 0)), "Not Found")</f>
        <v/>
      </c>
    </row>
    <row r="4">
      <c r="A4" s="2" t="inlineStr">
        <is>
          <t>cms-101</t>
        </is>
      </c>
      <c r="B4" s="2" t="inlineStr">
        <is>
          <t>2021-08-23 10:00:00</t>
        </is>
      </c>
      <c r="C4" s="2" t="n">
        <v>4</v>
      </c>
      <c r="D4" s="2">
        <f>IFERROR(INDEX(ticket!$B$2:$B$100, MATCH(A4, ticket!$E$2:$E$100, 0)), "Not Found")</f>
        <v/>
      </c>
    </row>
    <row r="5">
      <c r="A5" s="2" t="inlineStr">
        <is>
          <t>cms-102</t>
        </is>
      </c>
      <c r="B5" s="2" t="inlineStr">
        <is>
          <t>2021-08-24 11:00:00</t>
        </is>
      </c>
      <c r="C5" s="2" t="n">
        <v>5</v>
      </c>
      <c r="D5" s="2">
        <f>IFERROR(INDEX(ticket!$B$2:$B$100, MATCH(A5, ticket!$E$2:$E$100, 0)), "Not Found")</f>
        <v/>
      </c>
    </row>
    <row r="6">
      <c r="A6" s="2" t="inlineStr">
        <is>
          <t>cms-104</t>
        </is>
      </c>
      <c r="B6" s="2" t="inlineStr">
        <is>
          <t>2021-08-26 09:00:00</t>
        </is>
      </c>
      <c r="C6" s="2" t="n">
        <v>2</v>
      </c>
      <c r="D6" s="2">
        <f>IFERROR(INDEX(ticket!$B$2:$B$100, MATCH(A6, ticket!$E$2:$E$100, 0)), "Not Found")</f>
        <v/>
      </c>
    </row>
    <row r="7">
      <c r="A7" s="2" t="inlineStr">
        <is>
          <t>cms-106</t>
        </is>
      </c>
      <c r="B7" s="2" t="inlineStr">
        <is>
          <t>2021-08-28 14:00:00</t>
        </is>
      </c>
      <c r="C7" s="2" t="n">
        <v>4</v>
      </c>
      <c r="D7" s="2">
        <f>IFERROR(INDEX(ticket!$B$2:$B$100, MATCH(A7, ticket!$E$2:$E$100, 0)), "Not Found")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2026-04-08T18:37:31Z</dcterms:created>
  <dcterms:modified xsi:type="dcterms:W3CDTF">2026-04-08T18:37:31Z</dcterms:modified>
</cp:coreProperties>
</file>